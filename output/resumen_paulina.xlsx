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Moderado" sheetId="2" state="visible" r:id="rId2"/>
    <sheet xmlns:r="http://schemas.openxmlformats.org/officeDocument/2006/relationships" name="Austero" sheetId="3" state="visible" r:id="rId3"/>
    <sheet xmlns:r="http://schemas.openxmlformats.org/officeDocument/2006/relationships" name="Comodo" sheetId="4" state="visible" r:id="rId4"/>
    <sheet xmlns:r="http://schemas.openxmlformats.org/officeDocument/2006/relationships" name="Referencia Cos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"/>
  </numFmts>
  <fonts count="9">
    <font>
      <name val="Calibri"/>
      <family val="2"/>
      <color theme="1"/>
      <sz val="11"/>
      <scheme val="minor"/>
    </font>
    <font>
      <b val="1"/>
      <color rgb="001a365d"/>
      <sz val="16"/>
    </font>
    <font>
      <color rgb="00666666"/>
      <sz val="12"/>
    </font>
    <font>
      <b val="1"/>
      <color rgb="00FFFFFF"/>
      <sz val="11"/>
    </font>
    <font>
      <b val="1"/>
      <color rgb="00FFFFFF"/>
      <sz val="10"/>
    </font>
    <font>
      <b val="1"/>
      <color rgb="001a365d"/>
      <sz val="14"/>
    </font>
    <font>
      <i val="1"/>
      <color rgb="00666666"/>
    </font>
    <font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667eea"/>
        <bgColor rgb="00667eea"/>
      </patternFill>
    </fill>
    <fill>
      <patternFill patternType="solid">
        <fgColor rgb="00e2e8f0"/>
        <bgColor rgb="00e2e8f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1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/>
    </xf>
    <xf numFmtId="164" fontId="0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4" borderId="1" pivotButton="0" quotePrefix="0" xfId="0"/>
    <xf numFmtId="164" fontId="7" fillId="4" borderId="1" pivotButton="0" quotePrefix="0" xfId="0"/>
    <xf numFmtId="3" fontId="0" fillId="0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8" customWidth="1" min="3" max="3"/>
    <col width="20" customWidth="1" min="4" max="4"/>
    <col width="18" customWidth="1" min="5" max="5"/>
  </cols>
  <sheetData>
    <row r="1">
      <c r="A1" s="1" t="inlineStr">
        <is>
          <t>PRESUPUESTO DE PERMANENCIA - PAULINA EN MADRID</t>
        </is>
      </c>
    </row>
    <row r="2">
      <c r="A2" s="2" t="inlineStr">
        <is>
          <t>IE University | 2026-2030</t>
        </is>
      </c>
    </row>
    <row r="4">
      <c r="A4" s="3" t="inlineStr">
        <is>
          <t>PERFIL</t>
        </is>
      </c>
      <c r="B4" s="4" t="n"/>
    </row>
    <row r="5">
      <c r="A5" s="5" t="inlineStr">
        <is>
          <t>Nombre</t>
        </is>
      </c>
      <c r="B5" s="5" t="inlineStr">
        <is>
          <t>Paulina</t>
        </is>
      </c>
    </row>
    <row r="6">
      <c r="A6" s="5" t="inlineStr">
        <is>
          <t>Edad</t>
        </is>
      </c>
      <c r="B6" s="5" t="inlineStr">
        <is>
          <t>19 anos</t>
        </is>
      </c>
    </row>
    <row r="7">
      <c r="A7" s="5" t="inlineStr">
        <is>
          <t>Universidad</t>
        </is>
      </c>
      <c r="B7" s="5" t="inlineStr">
        <is>
          <t>IE University</t>
        </is>
      </c>
    </row>
    <row r="8">
      <c r="A8" s="5" t="inlineStr">
        <is>
          <t>Programa</t>
        </is>
      </c>
      <c r="B8" s="5" t="inlineStr">
        <is>
          <t>Grado 4 anos</t>
        </is>
      </c>
    </row>
    <row r="9">
      <c r="A9" s="5" t="inlineStr">
        <is>
          <t>Duracion</t>
        </is>
      </c>
      <c r="B9" s="5" t="inlineStr">
        <is>
          <t>4 anos</t>
        </is>
      </c>
    </row>
    <row r="10">
      <c r="A10" s="5" t="inlineStr">
        <is>
          <t>Ciudad</t>
        </is>
      </c>
      <c r="B10" s="5" t="inlineStr">
        <is>
          <t>Madrid</t>
        </is>
      </c>
    </row>
    <row r="11">
      <c r="A11" s="5" t="inlineStr">
        <is>
          <t>Pais origen</t>
        </is>
      </c>
      <c r="B11" s="5" t="inlineStr">
        <is>
          <t>Colombia</t>
        </is>
      </c>
    </row>
    <row r="13">
      <c r="A13" s="3" t="inlineStr">
        <is>
          <t>COMPARATIVA DE ESCENARIOS (4 ANOS)</t>
        </is>
      </c>
      <c r="B13" s="6" t="n"/>
      <c r="C13" s="6" t="n"/>
      <c r="D13" s="6" t="n"/>
      <c r="E13" s="4" t="n"/>
    </row>
    <row r="14">
      <c r="A14" s="7" t="inlineStr">
        <is>
          <t>Escenario</t>
        </is>
      </c>
      <c r="B14" s="7" t="inlineStr">
        <is>
          <t>Total 4 Anos (EUR)</t>
        </is>
      </c>
      <c r="C14" s="7" t="inlineStr">
        <is>
          <t>Total (USD)</t>
        </is>
      </c>
      <c r="D14" s="7" t="inlineStr">
        <is>
          <t>Total (COP)</t>
        </is>
      </c>
      <c r="E14" s="7" t="inlineStr">
        <is>
          <t>Mensual Prom.</t>
        </is>
      </c>
    </row>
    <row r="15">
      <c r="A15" s="5" t="inlineStr">
        <is>
          <t>AUSTERO</t>
        </is>
      </c>
      <c r="B15" s="8" t="n">
        <v>134665.93</v>
      </c>
      <c r="C15" s="8" t="n">
        <v>145439.21</v>
      </c>
      <c r="D15" s="8" t="n">
        <v>605996697.5</v>
      </c>
      <c r="E15" s="8" t="n">
        <v>2805.54</v>
      </c>
    </row>
    <row r="16">
      <c r="A16" s="5" t="inlineStr">
        <is>
          <t>MODERADO</t>
        </is>
      </c>
      <c r="B16" s="8" t="n">
        <v>183953.24</v>
      </c>
      <c r="C16" s="8" t="n">
        <v>198669.5</v>
      </c>
      <c r="D16" s="8" t="n">
        <v>827789591.09</v>
      </c>
      <c r="E16" s="8" t="n">
        <v>3832.36</v>
      </c>
    </row>
    <row r="17">
      <c r="A17" s="5" t="inlineStr">
        <is>
          <t>COMODO</t>
        </is>
      </c>
      <c r="B17" s="8" t="n">
        <v>231406.45</v>
      </c>
      <c r="C17" s="8" t="n">
        <v>249918.97</v>
      </c>
      <c r="D17" s="8" t="n">
        <v>1041329025.34</v>
      </c>
      <c r="E17" s="8" t="n">
        <v>4820.97</v>
      </c>
    </row>
    <row r="19">
      <c r="A19" s="3" t="inlineStr">
        <is>
          <t>SUPUESTOS</t>
        </is>
      </c>
      <c r="B19" s="4" t="n"/>
    </row>
    <row r="20">
      <c r="A20" s="5" t="inlineStr">
        <is>
          <t>Matricula base anual</t>
        </is>
      </c>
      <c r="B20" s="5" t="inlineStr">
        <is>
          <t>€29,000</t>
        </is>
      </c>
    </row>
    <row r="21">
      <c r="A21" s="5" t="inlineStr">
        <is>
          <t>Descuento beca disponible</t>
        </is>
      </c>
      <c r="B21" s="5" t="inlineStr">
        <is>
          <t>40%</t>
        </is>
      </c>
    </row>
    <row r="22">
      <c r="A22" s="5" t="inlineStr">
        <is>
          <t>Inflacion estimada Espana</t>
        </is>
      </c>
      <c r="B22" s="5" t="inlineStr">
        <is>
          <t>3%</t>
        </is>
      </c>
    </row>
    <row r="23">
      <c r="A23" s="5" t="inlineStr">
        <is>
          <t>Tasa EUR/USD</t>
        </is>
      </c>
      <c r="B23" s="5" t="n">
        <v>1.08</v>
      </c>
    </row>
    <row r="24">
      <c r="A24" s="5" t="inlineStr">
        <is>
          <t>Tasa EUR/COP</t>
        </is>
      </c>
      <c r="B24" s="5" t="inlineStr">
        <is>
          <t>4,500</t>
        </is>
      </c>
    </row>
  </sheetData>
  <mergeCells count="5">
    <mergeCell ref="A4:B4"/>
    <mergeCell ref="A2:F2"/>
    <mergeCell ref="A19:B19"/>
    <mergeCell ref="A1:F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15" customWidth="1" min="4" max="4"/>
    <col width="18" customWidth="1" min="5" max="5"/>
  </cols>
  <sheetData>
    <row r="1">
      <c r="A1" s="9" t="inlineStr">
        <is>
          <t>ESCENARIO MODERADO</t>
        </is>
      </c>
    </row>
    <row r="2">
      <c r="A2" s="10" t="inlineStr">
        <is>
          <t>Balance calidad-costo, vida comoda pero consciente</t>
        </is>
      </c>
    </row>
    <row r="4">
      <c r="A4" s="3" t="inlineStr">
        <is>
          <t>RESUMEN ANO 1</t>
        </is>
      </c>
      <c r="B4" s="6" t="n"/>
      <c r="C4" s="4" t="n"/>
    </row>
    <row r="5">
      <c r="A5" s="5" t="inlineStr">
        <is>
          <t>Matricula base</t>
        </is>
      </c>
      <c r="B5" s="8" t="n">
        <v>29000</v>
      </c>
    </row>
    <row r="6">
      <c r="A6" s="5" t="inlineStr">
        <is>
          <t>Matricula con descuento</t>
        </is>
      </c>
      <c r="B6" s="8" t="n">
        <v>17400</v>
      </c>
    </row>
    <row r="7">
      <c r="A7" s="5" t="inlineStr">
        <is>
          <t>Ahorro por descuento</t>
        </is>
      </c>
      <c r="B7" s="8" t="n">
        <v>11600</v>
      </c>
    </row>
    <row r="8">
      <c r="A8" s="5" t="inlineStr">
        <is>
          <t>Gastos mensuales</t>
        </is>
      </c>
      <c r="B8" s="8" t="n">
        <v>1873</v>
      </c>
    </row>
    <row r="9">
      <c r="A9" s="5" t="inlineStr">
        <is>
          <t>Gastos vida anual</t>
        </is>
      </c>
      <c r="B9" s="8" t="n">
        <v>24476</v>
      </c>
    </row>
    <row r="10">
      <c r="A10" s="5" t="inlineStr">
        <is>
          <t>Vuelos anual</t>
        </is>
      </c>
      <c r="B10" s="8" t="n">
        <v>2000</v>
      </c>
    </row>
    <row r="11">
      <c r="A11" s="5" t="inlineStr">
        <is>
          <t>Emergencias anual</t>
        </is>
      </c>
      <c r="B11" s="8" t="n">
        <v>2093.8</v>
      </c>
    </row>
    <row r="12">
      <c r="A12" s="11" t="inlineStr">
        <is>
          <t>TOTAL ANUAL</t>
        </is>
      </c>
      <c r="B12" s="12" t="n">
        <v>43969.8</v>
      </c>
    </row>
    <row r="13">
      <c r="A13" s="5" t="inlineStr">
        <is>
          <t>Total mensual promedio</t>
        </is>
      </c>
      <c r="B13" s="8" t="n">
        <v>3664.15</v>
      </c>
    </row>
    <row r="15">
      <c r="A15" s="3" t="inlineStr">
        <is>
          <t>DESGLOSE MENSUAL</t>
        </is>
      </c>
      <c r="B15" s="6" t="n"/>
      <c r="C15" s="4" t="n"/>
    </row>
    <row r="16">
      <c r="A16" s="7" t="inlineStr">
        <is>
          <t>Categoria</t>
        </is>
      </c>
      <c r="B16" s="7" t="inlineStr">
        <is>
          <t>Monto (EUR)</t>
        </is>
      </c>
      <c r="C16" s="7" t="inlineStr">
        <is>
          <t>Incluido</t>
        </is>
      </c>
    </row>
    <row r="17">
      <c r="A17" s="5" t="inlineStr">
        <is>
          <t>Apartamento 2 habitaciones compartido (parte de Paulina)</t>
        </is>
      </c>
      <c r="B17" s="8" t="n">
        <v>1000</v>
      </c>
      <c r="C17" s="5" t="inlineStr">
        <is>
          <t>Si</t>
        </is>
      </c>
    </row>
    <row r="18">
      <c r="A18" s="5" t="inlineStr">
        <is>
          <t>Electricidad (parte de Paulina)</t>
        </is>
      </c>
      <c r="B18" s="8" t="n">
        <v>68</v>
      </c>
      <c r="C18" s="5" t="inlineStr">
        <is>
          <t>Si</t>
        </is>
      </c>
    </row>
    <row r="19">
      <c r="A19" s="5" t="inlineStr">
        <is>
          <t>Gas y calefaccion (parte de Paulina)</t>
        </is>
      </c>
      <c r="B19" s="8" t="n">
        <v>88</v>
      </c>
      <c r="C19" s="5" t="inlineStr">
        <is>
          <t>Si</t>
        </is>
      </c>
    </row>
    <row r="20">
      <c r="A20" s="5" t="inlineStr">
        <is>
          <t>Agua (parte de Paulina)</t>
        </is>
      </c>
      <c r="B20" s="8" t="n">
        <v>25</v>
      </c>
      <c r="C20" s="5" t="inlineStr">
        <is>
          <t>Si</t>
        </is>
      </c>
    </row>
    <row r="21">
      <c r="A21" s="5" t="inlineStr">
        <is>
          <t>Internet fibra (parte de Paulina)</t>
        </is>
      </c>
      <c r="B21" s="8" t="n">
        <v>23</v>
      </c>
      <c r="C21" s="5" t="inlineStr">
        <is>
          <t>Si</t>
        </is>
      </c>
    </row>
    <row r="22">
      <c r="A22" s="5" t="inlineStr">
        <is>
          <t>Plan celular</t>
        </is>
      </c>
      <c r="B22" s="8" t="n">
        <v>40</v>
      </c>
      <c r="C22" s="5" t="inlineStr">
        <is>
          <t>Si</t>
        </is>
      </c>
    </row>
    <row r="23">
      <c r="A23" s="5" t="inlineStr">
        <is>
          <t>Alimentacion y supermercado</t>
        </is>
      </c>
      <c r="B23" s="8" t="n">
        <v>300</v>
      </c>
      <c r="C23" s="5" t="inlineStr">
        <is>
          <t>Si</t>
        </is>
      </c>
    </row>
    <row r="24">
      <c r="A24" s="5" t="inlineStr">
        <is>
          <t>Abono transporte publico Madrid</t>
        </is>
      </c>
      <c r="B24" s="8" t="n">
        <v>8</v>
      </c>
      <c r="C24" s="5" t="inlineStr">
        <is>
          <t>Si</t>
        </is>
      </c>
    </row>
    <row r="25">
      <c r="A25" s="5" t="inlineStr">
        <is>
          <t>Seguro medico privado espanol</t>
        </is>
      </c>
      <c r="B25" s="8" t="n">
        <v>46</v>
      </c>
      <c r="C25" s="5" t="inlineStr">
        <is>
          <t>Si</t>
        </is>
      </c>
    </row>
    <row r="26">
      <c r="A26" s="5" t="inlineStr">
        <is>
          <t>Ocio, restaurantes, cultura, salidas</t>
        </is>
      </c>
      <c r="B26" s="8" t="n">
        <v>150</v>
      </c>
      <c r="C26" s="5" t="inlineStr">
        <is>
          <t>Si</t>
        </is>
      </c>
    </row>
    <row r="27">
      <c r="A27" s="5" t="inlineStr">
        <is>
          <t>Ropa, higiene, cuidado personal</t>
        </is>
      </c>
      <c r="B27" s="8" t="n">
        <v>75</v>
      </c>
      <c r="C27" s="5" t="inlineStr">
        <is>
          <t>Si</t>
        </is>
      </c>
    </row>
    <row r="28">
      <c r="A28" s="5" t="inlineStr">
        <is>
          <t>Libros, materiales, software educativo</t>
        </is>
      </c>
      <c r="B28" s="8" t="n">
        <v>50</v>
      </c>
      <c r="C28" s="5" t="inlineStr">
        <is>
          <t>Si</t>
        </is>
      </c>
    </row>
    <row r="30">
      <c r="A30" s="3" t="inlineStr">
        <is>
          <t>PROYECCION 4 ANOS</t>
        </is>
      </c>
      <c r="B30" s="6" t="n"/>
      <c r="C30" s="6" t="n"/>
      <c r="D30" s="6" t="n"/>
      <c r="E30" s="4" t="n"/>
    </row>
    <row r="31">
      <c r="A31" s="7" t="inlineStr">
        <is>
          <t>Ano</t>
        </is>
      </c>
      <c r="B31" s="7" t="inlineStr">
        <is>
          <t>Matricula</t>
        </is>
      </c>
      <c r="C31" s="7" t="inlineStr">
        <is>
          <t>Gastos Vida</t>
        </is>
      </c>
      <c r="D31" s="7" t="inlineStr">
        <is>
          <t>Emergencias</t>
        </is>
      </c>
      <c r="E31" s="7" t="inlineStr">
        <is>
          <t>Total</t>
        </is>
      </c>
    </row>
    <row r="32">
      <c r="A32" s="5" t="n">
        <v>2026</v>
      </c>
      <c r="B32" s="8" t="n">
        <v>17400</v>
      </c>
      <c r="C32" s="8" t="n">
        <v>24476</v>
      </c>
      <c r="D32" s="8" t="n">
        <v>2093.8</v>
      </c>
      <c r="E32" s="8" t="n">
        <v>43969.8</v>
      </c>
    </row>
    <row r="33">
      <c r="A33" s="5" t="n">
        <v>2027</v>
      </c>
      <c r="B33" s="8" t="n">
        <v>17922</v>
      </c>
      <c r="C33" s="8" t="n">
        <v>25210.28</v>
      </c>
      <c r="D33" s="8" t="n">
        <v>2156.61</v>
      </c>
      <c r="E33" s="8" t="n">
        <v>45288.89</v>
      </c>
    </row>
    <row r="34">
      <c r="A34" s="5" t="n">
        <v>2028</v>
      </c>
      <c r="B34" s="8" t="n">
        <v>18459.66</v>
      </c>
      <c r="C34" s="8" t="n">
        <v>25966.59</v>
      </c>
      <c r="D34" s="8" t="n">
        <v>2221.31</v>
      </c>
      <c r="E34" s="8" t="n">
        <v>46647.56</v>
      </c>
    </row>
    <row r="35">
      <c r="A35" s="5" t="n">
        <v>2029</v>
      </c>
      <c r="B35" s="8" t="n">
        <v>19013.45</v>
      </c>
      <c r="C35" s="8" t="n">
        <v>26745.59</v>
      </c>
      <c r="D35" s="8" t="n">
        <v>2287.95</v>
      </c>
      <c r="E35" s="8" t="n">
        <v>48046.99</v>
      </c>
    </row>
    <row r="36">
      <c r="A36" s="11" t="inlineStr">
        <is>
          <t>TOTAL</t>
        </is>
      </c>
      <c r="B36" s="12">
        <f>SUM(B32:B35)</f>
        <v/>
      </c>
      <c r="C36" s="12">
        <f>SUM(C32:C35)</f>
        <v/>
      </c>
      <c r="D36" s="12">
        <f>SUM(D32:D35)</f>
        <v/>
      </c>
      <c r="E36" s="12">
        <f>SUM(E32:E35)</f>
        <v/>
      </c>
    </row>
    <row r="38">
      <c r="A38" s="3" t="inlineStr">
        <is>
          <t>TOTALES EN DIFERENTES MONEDAS</t>
        </is>
      </c>
      <c r="B38" s="4" t="n"/>
    </row>
    <row r="39">
      <c r="A39" s="5" t="inlineStr">
        <is>
          <t>Total 4 anos (EUR)</t>
        </is>
      </c>
      <c r="B39" s="8" t="n">
        <v>183953.24</v>
      </c>
    </row>
    <row r="40">
      <c r="A40" s="5" t="inlineStr">
        <is>
          <t>Total 4 anos (USD)</t>
        </is>
      </c>
      <c r="B40" s="8" t="n">
        <v>198669.5</v>
      </c>
    </row>
    <row r="41">
      <c r="A41" s="5" t="inlineStr">
        <is>
          <t>Total 4 anos (COP)</t>
        </is>
      </c>
      <c r="B41" s="13" t="n">
        <v>827789591.09</v>
      </c>
    </row>
    <row r="42">
      <c r="A42" s="5" t="inlineStr">
        <is>
          <t>Promedio anual</t>
        </is>
      </c>
      <c r="B42" s="8" t="n">
        <v>45988.31</v>
      </c>
    </row>
    <row r="43">
      <c r="A43" s="5" t="inlineStr">
        <is>
          <t>Promedio mensual</t>
        </is>
      </c>
      <c r="B43" s="8" t="n">
        <v>3832.36</v>
      </c>
    </row>
  </sheetData>
  <mergeCells count="6">
    <mergeCell ref="A30:E30"/>
    <mergeCell ref="A38:B38"/>
    <mergeCell ref="A2:E2"/>
    <mergeCell ref="A1:E1"/>
    <mergeCell ref="A15:C15"/>
    <mergeCell ref="A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15" customWidth="1" min="4" max="4"/>
    <col width="18" customWidth="1" min="5" max="5"/>
  </cols>
  <sheetData>
    <row r="1">
      <c r="A1" s="9" t="inlineStr">
        <is>
          <t>ESCENARIO AUSTERO</t>
        </is>
      </c>
    </row>
    <row r="2">
      <c r="A2" s="10" t="inlineStr">
        <is>
          <t>Gastos minimos, sin extras, maximo ahorro</t>
        </is>
      </c>
    </row>
    <row r="4">
      <c r="A4" s="3" t="inlineStr">
        <is>
          <t>RESUMEN ANO 1</t>
        </is>
      </c>
      <c r="B4" s="6" t="n"/>
      <c r="C4" s="4" t="n"/>
    </row>
    <row r="5">
      <c r="A5" s="5" t="inlineStr">
        <is>
          <t>Matricula base</t>
        </is>
      </c>
      <c r="B5" s="8" t="n">
        <v>29000</v>
      </c>
    </row>
    <row r="6">
      <c r="A6" s="5" t="inlineStr">
        <is>
          <t>Matricula con descuento</t>
        </is>
      </c>
      <c r="B6" s="8" t="n">
        <v>17400</v>
      </c>
    </row>
    <row r="7">
      <c r="A7" s="5" t="inlineStr">
        <is>
          <t>Ahorro por descuento</t>
        </is>
      </c>
      <c r="B7" s="8" t="n">
        <v>11600</v>
      </c>
    </row>
    <row r="8">
      <c r="A8" s="5" t="inlineStr">
        <is>
          <t>Gastos mensuales</t>
        </is>
      </c>
      <c r="B8" s="8" t="n">
        <v>1038</v>
      </c>
    </row>
    <row r="9">
      <c r="A9" s="5" t="inlineStr">
        <is>
          <t>Gastos vida anual</t>
        </is>
      </c>
      <c r="B9" s="8" t="n">
        <v>13256</v>
      </c>
    </row>
    <row r="10">
      <c r="A10" s="5" t="inlineStr">
        <is>
          <t>Vuelos anual</t>
        </is>
      </c>
      <c r="B10" s="8" t="n">
        <v>800</v>
      </c>
    </row>
    <row r="11">
      <c r="A11" s="5" t="inlineStr">
        <is>
          <t>Emergencias anual</t>
        </is>
      </c>
      <c r="B11" s="8" t="n">
        <v>1532.8</v>
      </c>
    </row>
    <row r="12">
      <c r="A12" s="11" t="inlineStr">
        <is>
          <t>TOTAL ANUAL</t>
        </is>
      </c>
      <c r="B12" s="12" t="n">
        <v>32188.8</v>
      </c>
    </row>
    <row r="13">
      <c r="A13" s="5" t="inlineStr">
        <is>
          <t>Total mensual promedio</t>
        </is>
      </c>
      <c r="B13" s="8" t="n">
        <v>2682.4</v>
      </c>
    </row>
    <row r="15">
      <c r="A15" s="3" t="inlineStr">
        <is>
          <t>DESGLOSE MENSUAL</t>
        </is>
      </c>
      <c r="B15" s="6" t="n"/>
      <c r="C15" s="4" t="n"/>
    </row>
    <row r="16">
      <c r="A16" s="7" t="inlineStr">
        <is>
          <t>Categoria</t>
        </is>
      </c>
      <c r="B16" s="7" t="inlineStr">
        <is>
          <t>Monto (EUR)</t>
        </is>
      </c>
      <c r="C16" s="7" t="inlineStr">
        <is>
          <t>Incluido</t>
        </is>
      </c>
    </row>
    <row r="17">
      <c r="A17" s="5" t="inlineStr">
        <is>
          <t>Apartamento 2 habitaciones compartido (parte de Paulina)</t>
        </is>
      </c>
      <c r="B17" s="8" t="n">
        <v>600</v>
      </c>
      <c r="C17" s="5" t="inlineStr">
        <is>
          <t>Si</t>
        </is>
      </c>
    </row>
    <row r="18">
      <c r="A18" s="5" t="inlineStr">
        <is>
          <t>Electricidad (parte de Paulina)</t>
        </is>
      </c>
      <c r="B18" s="8" t="n">
        <v>35</v>
      </c>
      <c r="C18" s="5" t="inlineStr">
        <is>
          <t>Si</t>
        </is>
      </c>
    </row>
    <row r="19">
      <c r="A19" s="5" t="inlineStr">
        <is>
          <t>Gas y calefaccion (parte de Paulina)</t>
        </is>
      </c>
      <c r="B19" s="8" t="n">
        <v>50</v>
      </c>
      <c r="C19" s="5" t="inlineStr">
        <is>
          <t>Si</t>
        </is>
      </c>
    </row>
    <row r="20">
      <c r="A20" s="5" t="inlineStr">
        <is>
          <t>Agua (parte de Paulina)</t>
        </is>
      </c>
      <c r="B20" s="8" t="n">
        <v>20</v>
      </c>
      <c r="C20" s="5" t="inlineStr">
        <is>
          <t>Si</t>
        </is>
      </c>
    </row>
    <row r="21">
      <c r="A21" s="5" t="inlineStr">
        <is>
          <t>Internet fibra (parte de Paulina)</t>
        </is>
      </c>
      <c r="B21" s="8" t="n">
        <v>15</v>
      </c>
      <c r="C21" s="5" t="inlineStr">
        <is>
          <t>Si</t>
        </is>
      </c>
    </row>
    <row r="22">
      <c r="A22" s="5" t="inlineStr">
        <is>
          <t>Plan celular</t>
        </is>
      </c>
      <c r="B22" s="8" t="n">
        <v>20</v>
      </c>
      <c r="C22" s="5" t="inlineStr">
        <is>
          <t>Si</t>
        </is>
      </c>
    </row>
    <row r="23">
      <c r="A23" s="5" t="inlineStr">
        <is>
          <t>Alimentacion y supermercado</t>
        </is>
      </c>
      <c r="B23" s="8" t="n">
        <v>200</v>
      </c>
      <c r="C23" s="5" t="inlineStr">
        <is>
          <t>Si</t>
        </is>
      </c>
    </row>
    <row r="24">
      <c r="A24" s="5" t="inlineStr">
        <is>
          <t>Abono transporte publico Madrid</t>
        </is>
      </c>
      <c r="B24" s="8" t="n">
        <v>8</v>
      </c>
      <c r="C24" s="5" t="inlineStr">
        <is>
          <t>Si</t>
        </is>
      </c>
    </row>
    <row r="25">
      <c r="A25" s="5" t="inlineStr">
        <is>
          <t>Seguro medico privado espanol</t>
        </is>
      </c>
      <c r="B25" s="8" t="n">
        <v>35</v>
      </c>
      <c r="C25" s="5" t="inlineStr">
        <is>
          <t>Si</t>
        </is>
      </c>
    </row>
    <row r="26">
      <c r="A26" s="5" t="inlineStr">
        <is>
          <t>Ocio, restaurantes, cultura, salidas</t>
        </is>
      </c>
      <c r="B26" s="8" t="n">
        <v>0</v>
      </c>
      <c r="C26" s="5" t="inlineStr">
        <is>
          <t>No</t>
        </is>
      </c>
    </row>
    <row r="27">
      <c r="A27" s="5" t="inlineStr">
        <is>
          <t>Ropa, higiene, cuidado personal</t>
        </is>
      </c>
      <c r="B27" s="8" t="n">
        <v>30</v>
      </c>
      <c r="C27" s="5" t="inlineStr">
        <is>
          <t>Si</t>
        </is>
      </c>
    </row>
    <row r="28">
      <c r="A28" s="5" t="inlineStr">
        <is>
          <t>Libros, materiales, software educativo</t>
        </is>
      </c>
      <c r="B28" s="8" t="n">
        <v>25</v>
      </c>
      <c r="C28" s="5" t="inlineStr">
        <is>
          <t>Si</t>
        </is>
      </c>
    </row>
    <row r="30">
      <c r="A30" s="3" t="inlineStr">
        <is>
          <t>PROYECCION 4 ANOS</t>
        </is>
      </c>
      <c r="B30" s="6" t="n"/>
      <c r="C30" s="6" t="n"/>
      <c r="D30" s="6" t="n"/>
      <c r="E30" s="4" t="n"/>
    </row>
    <row r="31">
      <c r="A31" s="7" t="inlineStr">
        <is>
          <t>Ano</t>
        </is>
      </c>
      <c r="B31" s="7" t="inlineStr">
        <is>
          <t>Matricula</t>
        </is>
      </c>
      <c r="C31" s="7" t="inlineStr">
        <is>
          <t>Gastos Vida</t>
        </is>
      </c>
      <c r="D31" s="7" t="inlineStr">
        <is>
          <t>Emergencias</t>
        </is>
      </c>
      <c r="E31" s="7" t="inlineStr">
        <is>
          <t>Total</t>
        </is>
      </c>
    </row>
    <row r="32">
      <c r="A32" s="5" t="n">
        <v>2026</v>
      </c>
      <c r="B32" s="8" t="n">
        <v>17400</v>
      </c>
      <c r="C32" s="8" t="n">
        <v>13256</v>
      </c>
      <c r="D32" s="8" t="n">
        <v>1532.8</v>
      </c>
      <c r="E32" s="8" t="n">
        <v>32188.8</v>
      </c>
    </row>
    <row r="33">
      <c r="A33" s="5" t="n">
        <v>2027</v>
      </c>
      <c r="B33" s="8" t="n">
        <v>17922</v>
      </c>
      <c r="C33" s="8" t="n">
        <v>13653.68</v>
      </c>
      <c r="D33" s="8" t="n">
        <v>1578.78</v>
      </c>
      <c r="E33" s="8" t="n">
        <v>33154.46</v>
      </c>
    </row>
    <row r="34">
      <c r="A34" s="5" t="n">
        <v>2028</v>
      </c>
      <c r="B34" s="8" t="n">
        <v>18459.66</v>
      </c>
      <c r="C34" s="8" t="n">
        <v>14063.29</v>
      </c>
      <c r="D34" s="8" t="n">
        <v>1626.15</v>
      </c>
      <c r="E34" s="8" t="n">
        <v>34149.1</v>
      </c>
    </row>
    <row r="35">
      <c r="A35" s="5" t="n">
        <v>2029</v>
      </c>
      <c r="B35" s="8" t="n">
        <v>19013.45</v>
      </c>
      <c r="C35" s="8" t="n">
        <v>14485.19</v>
      </c>
      <c r="D35" s="8" t="n">
        <v>1674.93</v>
      </c>
      <c r="E35" s="8" t="n">
        <v>35173.57</v>
      </c>
    </row>
    <row r="36">
      <c r="A36" s="11" t="inlineStr">
        <is>
          <t>TOTAL</t>
        </is>
      </c>
      <c r="B36" s="12">
        <f>SUM(B32:B35)</f>
        <v/>
      </c>
      <c r="C36" s="12">
        <f>SUM(C32:C35)</f>
        <v/>
      </c>
      <c r="D36" s="12">
        <f>SUM(D32:D35)</f>
        <v/>
      </c>
      <c r="E36" s="12">
        <f>SUM(E32:E35)</f>
        <v/>
      </c>
    </row>
    <row r="38">
      <c r="A38" s="3" t="inlineStr">
        <is>
          <t>TOTALES EN DIFERENTES MONEDAS</t>
        </is>
      </c>
      <c r="B38" s="4" t="n"/>
    </row>
    <row r="39">
      <c r="A39" s="5" t="inlineStr">
        <is>
          <t>Total 4 anos (EUR)</t>
        </is>
      </c>
      <c r="B39" s="8" t="n">
        <v>134665.93</v>
      </c>
    </row>
    <row r="40">
      <c r="A40" s="5" t="inlineStr">
        <is>
          <t>Total 4 anos (USD)</t>
        </is>
      </c>
      <c r="B40" s="8" t="n">
        <v>145439.21</v>
      </c>
    </row>
    <row r="41">
      <c r="A41" s="5" t="inlineStr">
        <is>
          <t>Total 4 anos (COP)</t>
        </is>
      </c>
      <c r="B41" s="13" t="n">
        <v>605996697.5</v>
      </c>
    </row>
    <row r="42">
      <c r="A42" s="5" t="inlineStr">
        <is>
          <t>Promedio anual</t>
        </is>
      </c>
      <c r="B42" s="8" t="n">
        <v>33666.48</v>
      </c>
    </row>
    <row r="43">
      <c r="A43" s="5" t="inlineStr">
        <is>
          <t>Promedio mensual</t>
        </is>
      </c>
      <c r="B43" s="8" t="n">
        <v>2805.54</v>
      </c>
    </row>
  </sheetData>
  <mergeCells count="6">
    <mergeCell ref="A30:E30"/>
    <mergeCell ref="A38:B38"/>
    <mergeCell ref="A2:E2"/>
    <mergeCell ref="A1:E1"/>
    <mergeCell ref="A15:C15"/>
    <mergeCell ref="A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15" customWidth="1" min="4" max="4"/>
    <col width="18" customWidth="1" min="5" max="5"/>
  </cols>
  <sheetData>
    <row r="1">
      <c r="A1" s="9" t="inlineStr">
        <is>
          <t>ESCENARIO COMODO</t>
        </is>
      </c>
    </row>
    <row r="2">
      <c r="A2" s="10" t="inlineStr">
        <is>
          <t>Sin restricciones, todos los extras incluidos</t>
        </is>
      </c>
    </row>
    <row r="4">
      <c r="A4" s="3" t="inlineStr">
        <is>
          <t>RESUMEN ANO 1</t>
        </is>
      </c>
      <c r="B4" s="6" t="n"/>
      <c r="C4" s="4" t="n"/>
    </row>
    <row r="5">
      <c r="A5" s="5" t="inlineStr">
        <is>
          <t>Matricula base</t>
        </is>
      </c>
      <c r="B5" s="8" t="n">
        <v>29000</v>
      </c>
    </row>
    <row r="6">
      <c r="A6" s="5" t="inlineStr">
        <is>
          <t>Matricula con descuento</t>
        </is>
      </c>
      <c r="B6" s="8" t="n">
        <v>17400</v>
      </c>
    </row>
    <row r="7">
      <c r="A7" s="5" t="inlineStr">
        <is>
          <t>Ahorro por descuento</t>
        </is>
      </c>
      <c r="B7" s="8" t="n">
        <v>11600</v>
      </c>
    </row>
    <row r="8">
      <c r="A8" s="5" t="inlineStr">
        <is>
          <t>Gastos mensuales</t>
        </is>
      </c>
      <c r="B8" s="8" t="n">
        <v>2507</v>
      </c>
    </row>
    <row r="9">
      <c r="A9" s="5" t="inlineStr">
        <is>
          <t>Gastos vida anual</t>
        </is>
      </c>
      <c r="B9" s="8" t="n">
        <v>32884</v>
      </c>
    </row>
    <row r="10">
      <c r="A10" s="5" t="inlineStr">
        <is>
          <t>Vuelos anual</t>
        </is>
      </c>
      <c r="B10" s="8" t="n">
        <v>2800</v>
      </c>
    </row>
    <row r="11">
      <c r="A11" s="5" t="inlineStr">
        <is>
          <t>Emergencias anual</t>
        </is>
      </c>
      <c r="B11" s="8" t="n">
        <v>5028.4</v>
      </c>
    </row>
    <row r="12">
      <c r="A12" s="11" t="inlineStr">
        <is>
          <t>TOTAL ANUAL</t>
        </is>
      </c>
      <c r="B12" s="12" t="n">
        <v>55312.4</v>
      </c>
    </row>
    <row r="13">
      <c r="A13" s="5" t="inlineStr">
        <is>
          <t>Total mensual promedio</t>
        </is>
      </c>
      <c r="B13" s="8" t="n">
        <v>4609.37</v>
      </c>
    </row>
    <row r="15">
      <c r="A15" s="3" t="inlineStr">
        <is>
          <t>DESGLOSE MENSUAL</t>
        </is>
      </c>
      <c r="B15" s="6" t="n"/>
      <c r="C15" s="4" t="n"/>
    </row>
    <row r="16">
      <c r="A16" s="7" t="inlineStr">
        <is>
          <t>Categoria</t>
        </is>
      </c>
      <c r="B16" s="7" t="inlineStr">
        <is>
          <t>Monto (EUR)</t>
        </is>
      </c>
      <c r="C16" s="7" t="inlineStr">
        <is>
          <t>Incluido</t>
        </is>
      </c>
    </row>
    <row r="17">
      <c r="A17" s="5" t="inlineStr">
        <is>
          <t>Apartamento 2 habitaciones compartido (parte de Paulina)</t>
        </is>
      </c>
      <c r="B17" s="8" t="n">
        <v>1100</v>
      </c>
      <c r="C17" s="5" t="inlineStr">
        <is>
          <t>Si</t>
        </is>
      </c>
    </row>
    <row r="18">
      <c r="A18" s="5" t="inlineStr">
        <is>
          <t>Electricidad (parte de Paulina)</t>
        </is>
      </c>
      <c r="B18" s="8" t="n">
        <v>100</v>
      </c>
      <c r="C18" s="5" t="inlineStr">
        <is>
          <t>Si</t>
        </is>
      </c>
    </row>
    <row r="19">
      <c r="A19" s="5" t="inlineStr">
        <is>
          <t>Gas y calefaccion (parte de Paulina)</t>
        </is>
      </c>
      <c r="B19" s="8" t="n">
        <v>125</v>
      </c>
      <c r="C19" s="5" t="inlineStr">
        <is>
          <t>Si</t>
        </is>
      </c>
    </row>
    <row r="20">
      <c r="A20" s="5" t="inlineStr">
        <is>
          <t>Agua (parte de Paulina)</t>
        </is>
      </c>
      <c r="B20" s="8" t="n">
        <v>30</v>
      </c>
      <c r="C20" s="5" t="inlineStr">
        <is>
          <t>Si</t>
        </is>
      </c>
    </row>
    <row r="21">
      <c r="A21" s="5" t="inlineStr">
        <is>
          <t>Internet fibra (parte de Paulina)</t>
        </is>
      </c>
      <c r="B21" s="8" t="n">
        <v>30</v>
      </c>
      <c r="C21" s="5" t="inlineStr">
        <is>
          <t>Si</t>
        </is>
      </c>
    </row>
    <row r="22">
      <c r="A22" s="5" t="inlineStr">
        <is>
          <t>Plan celular</t>
        </is>
      </c>
      <c r="B22" s="8" t="n">
        <v>60</v>
      </c>
      <c r="C22" s="5" t="inlineStr">
        <is>
          <t>Si</t>
        </is>
      </c>
    </row>
    <row r="23">
      <c r="A23" s="5" t="inlineStr">
        <is>
          <t>Alimentacion y supermercado</t>
        </is>
      </c>
      <c r="B23" s="8" t="n">
        <v>400</v>
      </c>
      <c r="C23" s="5" t="inlineStr">
        <is>
          <t>Si</t>
        </is>
      </c>
    </row>
    <row r="24">
      <c r="A24" s="5" t="inlineStr">
        <is>
          <t>Abono transporte publico Madrid</t>
        </is>
      </c>
      <c r="B24" s="8" t="n">
        <v>55</v>
      </c>
      <c r="C24" s="5" t="inlineStr">
        <is>
          <t>Si</t>
        </is>
      </c>
    </row>
    <row r="25">
      <c r="A25" s="5" t="inlineStr">
        <is>
          <t>Seguro medico privado espanol</t>
        </is>
      </c>
      <c r="B25" s="8" t="n">
        <v>57</v>
      </c>
      <c r="C25" s="5" t="inlineStr">
        <is>
          <t>Si</t>
        </is>
      </c>
    </row>
    <row r="26">
      <c r="A26" s="5" t="inlineStr">
        <is>
          <t>Ocio, restaurantes, cultura, salidas</t>
        </is>
      </c>
      <c r="B26" s="8" t="n">
        <v>300</v>
      </c>
      <c r="C26" s="5" t="inlineStr">
        <is>
          <t>Si</t>
        </is>
      </c>
    </row>
    <row r="27">
      <c r="A27" s="5" t="inlineStr">
        <is>
          <t>Ropa, higiene, cuidado personal</t>
        </is>
      </c>
      <c r="B27" s="8" t="n">
        <v>150</v>
      </c>
      <c r="C27" s="5" t="inlineStr">
        <is>
          <t>Si</t>
        </is>
      </c>
    </row>
    <row r="28">
      <c r="A28" s="5" t="inlineStr">
        <is>
          <t>Libros, materiales, software educativo</t>
        </is>
      </c>
      <c r="B28" s="8" t="n">
        <v>100</v>
      </c>
      <c r="C28" s="5" t="inlineStr">
        <is>
          <t>Si</t>
        </is>
      </c>
    </row>
    <row r="30">
      <c r="A30" s="3" t="inlineStr">
        <is>
          <t>PROYECCION 4 ANOS</t>
        </is>
      </c>
      <c r="B30" s="6" t="n"/>
      <c r="C30" s="6" t="n"/>
      <c r="D30" s="6" t="n"/>
      <c r="E30" s="4" t="n"/>
    </row>
    <row r="31">
      <c r="A31" s="7" t="inlineStr">
        <is>
          <t>Ano</t>
        </is>
      </c>
      <c r="B31" s="7" t="inlineStr">
        <is>
          <t>Matricula</t>
        </is>
      </c>
      <c r="C31" s="7" t="inlineStr">
        <is>
          <t>Gastos Vida</t>
        </is>
      </c>
      <c r="D31" s="7" t="inlineStr">
        <is>
          <t>Emergencias</t>
        </is>
      </c>
      <c r="E31" s="7" t="inlineStr">
        <is>
          <t>Total</t>
        </is>
      </c>
    </row>
    <row r="32">
      <c r="A32" s="5" t="n">
        <v>2026</v>
      </c>
      <c r="B32" s="8" t="n">
        <v>17400</v>
      </c>
      <c r="C32" s="8" t="n">
        <v>32884</v>
      </c>
      <c r="D32" s="8" t="n">
        <v>5028.4</v>
      </c>
      <c r="E32" s="8" t="n">
        <v>55312.4</v>
      </c>
    </row>
    <row r="33">
      <c r="A33" s="5" t="n">
        <v>2027</v>
      </c>
      <c r="B33" s="8" t="n">
        <v>17922</v>
      </c>
      <c r="C33" s="8" t="n">
        <v>33870.52</v>
      </c>
      <c r="D33" s="8" t="n">
        <v>5179.25</v>
      </c>
      <c r="E33" s="8" t="n">
        <v>56971.77</v>
      </c>
    </row>
    <row r="34">
      <c r="A34" s="5" t="n">
        <v>2028</v>
      </c>
      <c r="B34" s="8" t="n">
        <v>18459.66</v>
      </c>
      <c r="C34" s="8" t="n">
        <v>34886.64</v>
      </c>
      <c r="D34" s="8" t="n">
        <v>5334.63</v>
      </c>
      <c r="E34" s="8" t="n">
        <v>58680.93</v>
      </c>
    </row>
    <row r="35">
      <c r="A35" s="5" t="n">
        <v>2029</v>
      </c>
      <c r="B35" s="8" t="n">
        <v>19013.45</v>
      </c>
      <c r="C35" s="8" t="n">
        <v>35933.23</v>
      </c>
      <c r="D35" s="8" t="n">
        <v>5494.67</v>
      </c>
      <c r="E35" s="8" t="n">
        <v>60441.35</v>
      </c>
    </row>
    <row r="36">
      <c r="A36" s="11" t="inlineStr">
        <is>
          <t>TOTAL</t>
        </is>
      </c>
      <c r="B36" s="12">
        <f>SUM(B32:B35)</f>
        <v/>
      </c>
      <c r="C36" s="12">
        <f>SUM(C32:C35)</f>
        <v/>
      </c>
      <c r="D36" s="12">
        <f>SUM(D32:D35)</f>
        <v/>
      </c>
      <c r="E36" s="12">
        <f>SUM(E32:E35)</f>
        <v/>
      </c>
    </row>
    <row r="38">
      <c r="A38" s="3" t="inlineStr">
        <is>
          <t>TOTALES EN DIFERENTES MONEDAS</t>
        </is>
      </c>
      <c r="B38" s="4" t="n"/>
    </row>
    <row r="39">
      <c r="A39" s="5" t="inlineStr">
        <is>
          <t>Total 4 anos (EUR)</t>
        </is>
      </c>
      <c r="B39" s="8" t="n">
        <v>231406.45</v>
      </c>
    </row>
    <row r="40">
      <c r="A40" s="5" t="inlineStr">
        <is>
          <t>Total 4 anos (USD)</t>
        </is>
      </c>
      <c r="B40" s="8" t="n">
        <v>249918.97</v>
      </c>
    </row>
    <row r="41">
      <c r="A41" s="5" t="inlineStr">
        <is>
          <t>Total 4 anos (COP)</t>
        </is>
      </c>
      <c r="B41" s="13" t="n">
        <v>1041329025.34</v>
      </c>
    </row>
    <row r="42">
      <c r="A42" s="5" t="inlineStr">
        <is>
          <t>Promedio anual</t>
        </is>
      </c>
      <c r="B42" s="8" t="n">
        <v>57851.61</v>
      </c>
    </row>
    <row r="43">
      <c r="A43" s="5" t="inlineStr">
        <is>
          <t>Promedio mensual</t>
        </is>
      </c>
      <c r="B43" s="8" t="n">
        <v>4820.97</v>
      </c>
    </row>
  </sheetData>
  <mergeCells count="6">
    <mergeCell ref="A30:E30"/>
    <mergeCell ref="A38:B38"/>
    <mergeCell ref="A2:E2"/>
    <mergeCell ref="A1:E1"/>
    <mergeCell ref="A15:C15"/>
    <mergeCell ref="A4:C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2" customWidth="1" min="3" max="3"/>
    <col width="12" customWidth="1" min="4" max="4"/>
    <col width="12" customWidth="1" min="5" max="5"/>
  </cols>
  <sheetData>
    <row r="1">
      <c r="A1" s="9" t="inlineStr">
        <is>
          <t>REFERENCIA DE COSTOS - GUIA IE MADRID</t>
        </is>
      </c>
    </row>
    <row r="3">
      <c r="A3" s="3" t="inlineStr">
        <is>
          <t>Categoria</t>
        </is>
      </c>
      <c r="B3" s="3" t="inlineStr">
        <is>
          <t>Descripcion</t>
        </is>
      </c>
      <c r="C3" s="3" t="inlineStr">
        <is>
          <t>Minimo</t>
        </is>
      </c>
      <c r="D3" s="3" t="inlineStr">
        <is>
          <t>Medio</t>
        </is>
      </c>
      <c r="E3" s="3" t="inlineStr">
        <is>
          <t>Maximo</t>
        </is>
      </c>
    </row>
    <row r="4">
      <c r="A4" s="5" t="inlineStr">
        <is>
          <t>Vivienda</t>
        </is>
      </c>
      <c r="B4" s="5" t="inlineStr">
        <is>
          <t>Apartamento 2 habitaciones compartido (parte de Paulina)</t>
        </is>
      </c>
      <c r="C4" s="8" t="n">
        <v>600</v>
      </c>
      <c r="D4" s="8" t="n">
        <v>1000</v>
      </c>
      <c r="E4" s="8" t="n">
        <v>1100</v>
      </c>
    </row>
    <row r="5">
      <c r="A5" s="5" t="inlineStr">
        <is>
          <t>Electricidad</t>
        </is>
      </c>
      <c r="B5" s="5" t="inlineStr">
        <is>
          <t>Electricidad (parte de Paulina)</t>
        </is>
      </c>
      <c r="C5" s="8" t="n">
        <v>35</v>
      </c>
      <c r="D5" s="8" t="n">
        <v>68</v>
      </c>
      <c r="E5" s="8" t="n">
        <v>100</v>
      </c>
    </row>
    <row r="6">
      <c r="A6" s="5" t="inlineStr">
        <is>
          <t>Gas Calefaccion</t>
        </is>
      </c>
      <c r="B6" s="5" t="inlineStr">
        <is>
          <t>Gas y calefaccion (parte de Paulina)</t>
        </is>
      </c>
      <c r="C6" s="8" t="n">
        <v>50</v>
      </c>
      <c r="D6" s="8" t="n">
        <v>88</v>
      </c>
      <c r="E6" s="8" t="n">
        <v>125</v>
      </c>
    </row>
    <row r="7">
      <c r="A7" s="5" t="inlineStr">
        <is>
          <t>Agua</t>
        </is>
      </c>
      <c r="B7" s="5" t="inlineStr">
        <is>
          <t>Agua (parte de Paulina)</t>
        </is>
      </c>
      <c r="C7" s="8" t="n">
        <v>20</v>
      </c>
      <c r="D7" s="8" t="n">
        <v>25</v>
      </c>
      <c r="E7" s="8" t="n">
        <v>30</v>
      </c>
    </row>
    <row r="8">
      <c r="A8" s="5" t="inlineStr">
        <is>
          <t>Internet</t>
        </is>
      </c>
      <c r="B8" s="5" t="inlineStr">
        <is>
          <t>Internet fibra (parte de Paulina)</t>
        </is>
      </c>
      <c r="C8" s="8" t="n">
        <v>15</v>
      </c>
      <c r="D8" s="8" t="n">
        <v>23</v>
      </c>
      <c r="E8" s="8" t="n">
        <v>30</v>
      </c>
    </row>
    <row r="9">
      <c r="A9" s="5" t="inlineStr">
        <is>
          <t>Celular</t>
        </is>
      </c>
      <c r="B9" s="5" t="inlineStr">
        <is>
          <t>Plan celular</t>
        </is>
      </c>
      <c r="C9" s="8" t="n">
        <v>20</v>
      </c>
      <c r="D9" s="8" t="n">
        <v>40</v>
      </c>
      <c r="E9" s="8" t="n">
        <v>60</v>
      </c>
    </row>
    <row r="10">
      <c r="A10" s="5" t="inlineStr">
        <is>
          <t>Supermercado</t>
        </is>
      </c>
      <c r="B10" s="5" t="inlineStr">
        <is>
          <t>Alimentacion y supermercado</t>
        </is>
      </c>
      <c r="C10" s="8" t="n">
        <v>200</v>
      </c>
      <c r="D10" s="8" t="n">
        <v>300</v>
      </c>
      <c r="E10" s="8" t="n">
        <v>400</v>
      </c>
    </row>
    <row r="11">
      <c r="A11" s="5" t="inlineStr">
        <is>
          <t>Transporte</t>
        </is>
      </c>
      <c r="B11" s="5" t="inlineStr">
        <is>
          <t>Abono transporte publico Madrid</t>
        </is>
      </c>
      <c r="C11" s="8" t="n">
        <v>8</v>
      </c>
      <c r="D11" s="8" t="n">
        <v>8</v>
      </c>
      <c r="E11" s="8" t="n">
        <v>55</v>
      </c>
    </row>
    <row r="12">
      <c r="A12" s="5" t="inlineStr">
        <is>
          <t>Seguro Medico</t>
        </is>
      </c>
      <c r="B12" s="5" t="inlineStr">
        <is>
          <t>Seguro medico privado espanol</t>
        </is>
      </c>
      <c r="C12" s="8" t="n">
        <v>35</v>
      </c>
      <c r="D12" s="8" t="n">
        <v>46</v>
      </c>
      <c r="E12" s="8" t="n">
        <v>57</v>
      </c>
    </row>
    <row r="13">
      <c r="A13" s="5" t="inlineStr">
        <is>
          <t>Ocio Cultura</t>
        </is>
      </c>
      <c r="B13" s="5" t="inlineStr">
        <is>
          <t>Ocio, restaurantes, cultura, salidas</t>
        </is>
      </c>
      <c r="C13" s="8" t="n">
        <v>50</v>
      </c>
      <c r="D13" s="8" t="n">
        <v>150</v>
      </c>
      <c r="E13" s="8" t="n">
        <v>300</v>
      </c>
    </row>
    <row r="14">
      <c r="A14" s="5" t="inlineStr">
        <is>
          <t>Ropa Personal</t>
        </is>
      </c>
      <c r="B14" s="5" t="inlineStr">
        <is>
          <t>Ropa, higiene, cuidado personal</t>
        </is>
      </c>
      <c r="C14" s="8" t="n">
        <v>30</v>
      </c>
      <c r="D14" s="8" t="n">
        <v>75</v>
      </c>
      <c r="E14" s="8" t="n">
        <v>150</v>
      </c>
    </row>
    <row r="15">
      <c r="A15" s="5" t="inlineStr">
        <is>
          <t>Materiales Estudio</t>
        </is>
      </c>
      <c r="B15" s="5" t="inlineStr">
        <is>
          <t>Libros, materiales, software educativo</t>
        </is>
      </c>
      <c r="C15" s="8" t="n">
        <v>25</v>
      </c>
      <c r="D15" s="8" t="n">
        <v>50</v>
      </c>
      <c r="E15" s="8" t="n">
        <v>100</v>
      </c>
    </row>
    <row r="16">
      <c r="A16" s="5" t="inlineStr">
        <is>
          <t>Vuelos Colombia</t>
        </is>
      </c>
      <c r="B16" s="5" t="inlineStr">
        <is>
          <t>Vuelos Colombia-Espana (ida y vuelta)</t>
        </is>
      </c>
      <c r="C16" s="8" t="n">
        <v>800</v>
      </c>
      <c r="D16" s="8" t="n">
        <v>1000</v>
      </c>
      <c r="E16" s="8" t="n">
        <v>1400</v>
      </c>
    </row>
    <row r="18">
      <c r="A18" s="14" t="inlineStr">
        <is>
          <t>NOTAS:</t>
        </is>
      </c>
    </row>
    <row r="19">
      <c r="A19" t="inlineStr">
        <is>
          <t>• Datos de costos basados en Guia Oficial IE Madrid</t>
        </is>
      </c>
    </row>
    <row r="20">
      <c r="A20" t="inlineStr">
        <is>
          <t>• Viajes Colombia-Espana estimados segun precios promedio 2024-2025</t>
        </is>
      </c>
    </row>
    <row r="21">
      <c r="A21" t="inlineStr">
        <is>
          <t>• Ocio y cultura no incluido en guia IE - valores estimados</t>
        </is>
      </c>
    </row>
    <row r="22">
      <c r="A22" t="inlineStr">
        <is>
          <t>• Transporte: 8 EUR/mes para menores de 26 anos (Abono Joven Madrid)</t>
        </is>
      </c>
    </row>
    <row r="23">
      <c r="A23" t="inlineStr">
        <is>
          <t>• Emergencias calculadas como porcentaje del total (5-10%)</t>
        </is>
      </c>
    </row>
  </sheetData>
  <mergeCells count="6">
    <mergeCell ref="A21:E21"/>
    <mergeCell ref="A20:E20"/>
    <mergeCell ref="A19:E19"/>
    <mergeCell ref="A1:E1"/>
    <mergeCell ref="A23:E23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2026-02-18T22:00:04Z</dcterms:created>
  <dcterms:modified xmlns:dcterms="http://purl.org/dc/terms/" xmlns:xsi="http://www.w3.org/2001/XMLSchema-instance" xsi:type="dcterms:W3CDTF">2026-02-18T22:00:04Z</dcterms:modified>
</cp:coreProperties>
</file>